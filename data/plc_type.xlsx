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project\2025\2025 leybold 图论\lbgraph\data\"/>
    </mc:Choice>
  </mc:AlternateContent>
  <xr:revisionPtr revIDLastSave="0" documentId="13_ncr:1_{DEAF2BFA-2D24-47EF-97B1-DE1E73F1FDAB}" xr6:coauthVersionLast="47" xr6:coauthVersionMax="47" xr10:uidLastSave="{00000000-0000-0000-0000-000000000000}"/>
  <bookViews>
    <workbookView xWindow="4200" yWindow="2090" windowWidth="22710" windowHeight="9320" activeTab="1" xr2:uid="{00000000-000D-0000-FFFF-FFFF00000000}"/>
  </bookViews>
  <sheets>
    <sheet name="Sheet1" sheetId="1" r:id="rId1"/>
    <sheet name="Sheet2" sheetId="2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2" i="2"/>
  <c r="D9" i="2"/>
  <c r="D10" i="2"/>
  <c r="D33" i="2"/>
  <c r="D34" i="2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C10" i="2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C34" i="2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2" i="2"/>
  <c r="D2" i="2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</calcChain>
</file>

<file path=xl/sharedStrings.xml><?xml version="1.0" encoding="utf-8"?>
<sst xmlns="http://schemas.openxmlformats.org/spreadsheetml/2006/main" count="380" uniqueCount="229">
  <si>
    <t>A1,1,DO1.1,RFN_RF on HFN_HN Ein</t>
  </si>
  <si>
    <t>A1,2,DO1.2,Keeper control model 0=remote</t>
  </si>
  <si>
    <t>A1,3,DO1.3,Keeper ON Halter ON</t>
  </si>
  <si>
    <t>A1,4,DO1.4,Emission control model 0=remote</t>
  </si>
  <si>
    <t>A1,5,DO1.5,Neutralizer emission on Neutralisator Emission Ein</t>
  </si>
  <si>
    <t>A1,6,DO1.6,plasma generator RF ON Plasmagenerator HF ON</t>
  </si>
  <si>
    <t>A1,7,DO1.7,Beam control model 0=remote</t>
  </si>
  <si>
    <t>A1,8,DO1.8,Beam on Strahlstrom Ein</t>
  </si>
  <si>
    <t>A1,9,DO1.9,Accel control model 0=remote</t>
  </si>
  <si>
    <t>A1,10,DO1.10,Accel on Beschl Ein</t>
  </si>
  <si>
    <t>A1,11,DO1.11,Ignite Relay</t>
  </si>
  <si>
    <t>A1,12,DO1.12,protection shutter RF open Schutzblende RF öffnen</t>
  </si>
  <si>
    <t>A1,13,DO1.13,protection shutter RF close Schutzblende RF schließen</t>
  </si>
  <si>
    <t>A1,14,DO1.14,RF on HF Ein</t>
  </si>
  <si>
    <t>A1,15,DO1.15,accel.-voltage on Beschl.-Spannung Ein</t>
  </si>
  <si>
    <t>A1,16,DO1.16,beam current on Strahlstrom Ein</t>
  </si>
  <si>
    <t>A2,1,DI2.1,supply RF N-generator1 OK Versorgung HF N-Generator1 OK</t>
  </si>
  <si>
    <t>A2,2,DI2.2,RF N-generator1 is On HF N-Generator1 is On</t>
  </si>
  <si>
    <t>A2,3,DI2.3,supply Keeper-generator OK Versorgung Keeper-Generator OK</t>
  </si>
  <si>
    <t>A2,4,DI2.4,Keeper-generator is On Keeper-Generator is On</t>
  </si>
  <si>
    <t>A2,5,DI2.5,supply Emission-generator OK Versorgung Emission-Generator OK</t>
  </si>
  <si>
    <t>A2,6,DI2.6,Emission-generator is On Emission-Generator is On</t>
  </si>
  <si>
    <t>A2,7,DI2.7,supply RF-2-generator OK Versorgung HF-2-Generator OK</t>
  </si>
  <si>
    <t>A2,8,DI2.8,supply Beam OK Versorgung Beam OK</t>
  </si>
  <si>
    <t>A2,9,DI2.9,Beam-generator is ON Beam-generator is ON</t>
  </si>
  <si>
    <t>A2,10,DI2.10,supply Accel-generator OK Versorgung Accel-Generator OK</t>
  </si>
  <si>
    <t>A2,11,DI2.11,supply Accel-generator is on Beschl-generator is Ein</t>
  </si>
  <si>
    <t>A2,12,DI2.12,Keeper-generator is OK Keeper-Generator is OK</t>
  </si>
  <si>
    <t>A2,13,DI2.13,Emission-generator is OK Emission-Generator is OK</t>
  </si>
  <si>
    <t>A2,14,DI2.14,supply RF-2-generator is ON Versorgung HF-2-Generator is ON</t>
  </si>
  <si>
    <t>A2,15,DI2.15,supply grids OK Versorgung Gitter OK</t>
  </si>
  <si>
    <t>A2,16,DI2.16,general fault Sammelfehler</t>
  </si>
  <si>
    <t>-A3,1,AO3.1,RFN setpoint forward power HFN Sollwert Vorwärtsleistung</t>
  </si>
  <si>
    <t>-A3,2,AO3.2,RFN actual value forward power HFN Istwert Vorwärtsleistung</t>
  </si>
  <si>
    <t>-A3,3,AO3.3,Keeper Setpoint current Halter Setpoint current</t>
  </si>
  <si>
    <t>-A3,4,AO3.4,Keeper Setpoint voltage Halter Setpoint voltage</t>
  </si>
  <si>
    <t>-A3,5,AO3.5,RFN actual value reflected power HFN Istwert Rückwärtsleistung</t>
  </si>
  <si>
    <t>-A3,6,AO3.6,Keeper Actual value current Halter Actual value current</t>
  </si>
  <si>
    <t>-A3,7,AO3.7,Keeper Actual value voltage Halter Actual value voltage</t>
  </si>
  <si>
    <t>-A3,8,AO3.8,RFN actual value forward power HFN Istwert Vorwärtsleistung</t>
  </si>
  <si>
    <t>-A4,1,AO4.1,RFN actual value reflected power HFN Istwert Rückwärtsleistung</t>
  </si>
  <si>
    <t>-A4,2,AO4.2,RFN actual value forward power HFN Istwert Vorwärtsleistung</t>
  </si>
  <si>
    <t>-A4,3,AO4.3,Keeper Setpoint current Halter Setpoint current</t>
  </si>
  <si>
    <t>-A4,4,AO4.4,Keeper Actual value current Halter Actual value current</t>
  </si>
  <si>
    <t>-A4,5,AO4.5,RFN actual value reflected power HFN Istwert Rückwärtsleistung</t>
  </si>
  <si>
    <t>-A4,6,AO4.6,Keeper Setpoint voltage Halter Setpoint voltage</t>
  </si>
  <si>
    <t>-A4,7,AO4.7,Keeper Actual value voltage Halter Actual value voltage</t>
  </si>
  <si>
    <t>-A4,8,AO4.8,RFN actual value forward power HFN Istwert Vorwärtsleistung</t>
  </si>
  <si>
    <t>-A5,1,AO5.1,setpoint emission current Sollwert Emission Strom</t>
  </si>
  <si>
    <t>-A5,2,AO5.2,setpoint emission voltage Sollwert Emission Spannung</t>
  </si>
  <si>
    <t>-A5,3,AO5.3,RFS setpoint forward power RFS Sollwert Vorwärtsleistung</t>
  </si>
  <si>
    <t>-A5,4,AO5.4,RFS actual value forward power RFS Istwert Vorwärtsleistung</t>
  </si>
  <si>
    <t>-A5,5,AO5.5,RFN actual value reflected power HFN Istwert Rückwärtsleistung</t>
  </si>
  <si>
    <t>-A5,6,AO5.6,RFN actual value forward power HFN Istwert Vorwärtsleistung</t>
  </si>
  <si>
    <t>-A5,7,AO5.7,RFN actual value reflected power HFN Istwert Rückwärtsleistung</t>
  </si>
  <si>
    <t>-A5,8,AO5.8,RFN actual value forward power HFN Istwert Vorwärtsleistung</t>
  </si>
  <si>
    <t>-A6,1,AO6.1,actual value emission current Istwert Emission Strom</t>
  </si>
  <si>
    <t>-A6,2,AO6.2,actual value emission voltage Istwert Emission Spannung</t>
  </si>
  <si>
    <t>-A6,3,AO6.3,RFS actual value reflected power RFS Istwert Rückwärtsleistung</t>
  </si>
  <si>
    <t>-A6,4,AO6.4,RFS actual value forward power RFS Istwert Vorwärtsleistung</t>
  </si>
  <si>
    <t>-A6,5,AO6.5,RFN actual value reflected power HFN Istwert Rückwärtsleistung</t>
  </si>
  <si>
    <t>-A6,6,AO6.6,RFN actual value forward power HFN Istwert Vorwärtsleistung</t>
  </si>
  <si>
    <t>-A6,7,AO6.7,RFN actual value reflected power HFN Istwert Rückwärtsleistung</t>
  </si>
  <si>
    <t>-A6,8,AO6.8,RFN actual value forward power HFN Istwert Vorwärtsleistung</t>
  </si>
  <si>
    <t>-A7,1,AO7.1,Setpoint Beam current Setpunkt Strahlstrom</t>
  </si>
  <si>
    <t>-A7,2,AO7.2,setpoint beam voltage Sollwert Strahlspannung</t>
  </si>
  <si>
    <t>-A7,3,AO7.3,setpoint accel.-current Sollwert Beschl.-Strom</t>
  </si>
  <si>
    <t>-A7,4,AO7.4,setpoint accel.-voltage Sollwert Beschl.-Spannung</t>
  </si>
  <si>
    <t>-A7,5,AO7.5,RFN actual value reflected power HFN Istwert Rückwärtsleistung</t>
  </si>
  <si>
    <t>-A7,6,AO7.6,RFN actual value forward power HFN Istwert Vorwärtsleistung</t>
  </si>
  <si>
    <t>-A7,7,AO7.7,RFN actual value reflected power HFN Istwert Rückwärtsleistung</t>
  </si>
  <si>
    <t>-A7,8,AO7.8,RFN actual value forward power HFN Istwert Vorwärtsleistung</t>
  </si>
  <si>
    <t>-A8,1,AI8.1,actual beam current Istwert Strahlstrom</t>
  </si>
  <si>
    <t>-A8,2,AI8.2,actual value beam voltage Istwert Strahlspannung</t>
  </si>
  <si>
    <t>-A8,3,AI8.3,actual value accel.-current Istwert Beschl.-Strom</t>
  </si>
  <si>
    <t>-A8,4,AI8.4,actual value accel.-voltage Istwert Beschl.-Spannung</t>
  </si>
  <si>
    <t>EL2809</t>
  </si>
  <si>
    <t>EL1809</t>
  </si>
  <si>
    <t>EL3204</t>
  </si>
  <si>
    <t>EL1859</t>
  </si>
  <si>
    <t>EL9100</t>
  </si>
  <si>
    <t>EL9011</t>
  </si>
  <si>
    <t>=A02 - A1,"EL2809"</t>
  </si>
  <si>
    <t>=A02 - A2,"EL2809"</t>
  </si>
  <si>
    <t>=A02 - A3,"EL1809"</t>
  </si>
  <si>
    <t>=A02 - A4,"EL3204"</t>
  </si>
  <si>
    <t>=A02 - A5,"EL3403 - 0010 3AC/5A"</t>
  </si>
  <si>
    <t>=Q01 - A1,"EL1859"</t>
  </si>
  <si>
    <t>=Q01 - A3,"EL3064, 4AI"</t>
  </si>
  <si>
    <t>=Q01 - A4,"EL1859"</t>
  </si>
  <si>
    <t>=Q01 - A7,"EL1859"</t>
  </si>
  <si>
    <t>=Q01 - A8,"EL4132, 2AO, 16Bit"</t>
  </si>
  <si>
    <t>=Q01 - A10,"EL4004, 4AO"</t>
  </si>
  <si>
    <t>=Q01 - A11,"EL3064, 4AI"</t>
  </si>
  <si>
    <t>=Q01 - A12,"EL3162, 2AI"</t>
  </si>
  <si>
    <t>=Q01 - A13,"EL1004, 4DI (3.0ms)"</t>
  </si>
  <si>
    <t>=Q15 - A1,"EL2809, 16DO"</t>
  </si>
  <si>
    <t>=Q15 - A2,"EL1809, 16DI"</t>
  </si>
  <si>
    <t>=Q15 - A3,"EL4004, 4AO"</t>
  </si>
  <si>
    <t>=Q15 - A4,"EL3064, 4AI"</t>
  </si>
  <si>
    <t>=Q15 - A5,"EL4004, 4AO"</t>
  </si>
  <si>
    <t>=Q15 - A6,"EL3064, 4AI"</t>
  </si>
  <si>
    <t>=P01 - T2,"EL9100"</t>
  </si>
  <si>
    <t>=Q15 - A7,"EL4004, 4AO"</t>
  </si>
  <si>
    <t>=Q15 - A8,"EL3064, 4AI"</t>
  </si>
  <si>
    <t>=Q15 - A9,"EL1859"</t>
  </si>
  <si>
    <t>=Q15 - A10,"EL4004, 4AO"</t>
  </si>
  <si>
    <t>=Q15 - A11,"EL3064, 4AI"</t>
  </si>
  <si>
    <t>=Q15 - A12,"EL3064, 4AI"</t>
  </si>
  <si>
    <t>=S02 - A1,"EL1859"</t>
  </si>
  <si>
    <t>=V01 - A1,"EL2809, 16DO"</t>
  </si>
  <si>
    <t>=V01 - A1.1,"EL9100"</t>
  </si>
  <si>
    <t>=V01 - A2,"EL2809, 16DO"</t>
  </si>
  <si>
    <t>=V01 - A2.1,"EL9100"</t>
  </si>
  <si>
    <t>=V01 - A3,"EL1809, 16DI"</t>
  </si>
  <si>
    <t>=V01 - A4,"EL1809, 16DI"</t>
  </si>
  <si>
    <t>=V01 - A5,"EL1809, 16DI"</t>
  </si>
  <si>
    <t>=V01 - A5.1,"EL9100"</t>
  </si>
  <si>
    <t>=V01 - A6,"EL3064, 4AI"</t>
  </si>
  <si>
    <t>=V01 - A7,"EL3064, 4AI"</t>
  </si>
  <si>
    <t>=V01 - A8,"EL3314, 4XTC"</t>
  </si>
  <si>
    <t>=V01 - A13,"Profibus Master\nProfibus master"</t>
  </si>
  <si>
    <t>=V01 - A14,"EL9011"</t>
  </si>
  <si>
    <t>=A02 - A1</t>
  </si>
  <si>
    <t>=A02 - A2</t>
  </si>
  <si>
    <t>=A02 - A3</t>
  </si>
  <si>
    <t>=A02 - A4</t>
  </si>
  <si>
    <t>=A02 - A5</t>
  </si>
  <si>
    <t>=Q01 - A1</t>
  </si>
  <si>
    <t>=Q01 - A2</t>
  </si>
  <si>
    <t>=Q01 - A3</t>
  </si>
  <si>
    <t>=Q01 - A4</t>
  </si>
  <si>
    <t>=P01 - T1</t>
  </si>
  <si>
    <t>=Q01 - A6</t>
  </si>
  <si>
    <t>=Q01 - A7</t>
  </si>
  <si>
    <t>=Q01 - A8</t>
  </si>
  <si>
    <t>=Q01 - A9</t>
  </si>
  <si>
    <t>=Q01 - A10</t>
  </si>
  <si>
    <t>=Q01 - A11</t>
  </si>
  <si>
    <t>=Q01 - A12</t>
  </si>
  <si>
    <t>=Q01 - A13</t>
  </si>
  <si>
    <t>=Q15 - A1</t>
  </si>
  <si>
    <t>=Q15 - A2</t>
  </si>
  <si>
    <t>=Q15 - A3</t>
  </si>
  <si>
    <t>=Q15 - A4</t>
  </si>
  <si>
    <t>=Q15 - A5</t>
  </si>
  <si>
    <t>=Q15 - A6</t>
  </si>
  <si>
    <t>=P01 - T2</t>
  </si>
  <si>
    <t>=Q15 - A7</t>
  </si>
  <si>
    <t>=Q15 - A8</t>
  </si>
  <si>
    <t>=Q15 - A9</t>
  </si>
  <si>
    <t>=Q15 - A10</t>
  </si>
  <si>
    <t>=Q15 - A11</t>
  </si>
  <si>
    <t>=Q15 - A12</t>
  </si>
  <si>
    <t>=S02 - A1</t>
  </si>
  <si>
    <t>=V01 - A1</t>
  </si>
  <si>
    <t>=V01 - A1.1</t>
  </si>
  <si>
    <t>=V01 - A2</t>
  </si>
  <si>
    <t>=V01 - A2.1</t>
  </si>
  <si>
    <t>=V01 - A3</t>
  </si>
  <si>
    <t>=V01 - A4</t>
  </si>
  <si>
    <t>=V01 - A5</t>
  </si>
  <si>
    <t>=V01 - A5.1</t>
  </si>
  <si>
    <t>=V01 - A6</t>
  </si>
  <si>
    <t>=V01 - A7</t>
  </si>
  <si>
    <t>=V01 - A8</t>
  </si>
  <si>
    <t>=V01 - A13</t>
  </si>
  <si>
    <t>=V01 - A14</t>
  </si>
  <si>
    <t>EL3403</t>
  </si>
  <si>
    <t>EL3064</t>
  </si>
  <si>
    <t>EL4132</t>
  </si>
  <si>
    <t>EL4004</t>
  </si>
  <si>
    <t>EL3162</t>
  </si>
  <si>
    <t>EL1004</t>
  </si>
  <si>
    <t>EL3314</t>
  </si>
  <si>
    <t>Profib</t>
  </si>
  <si>
    <t>= Q01 - A5</t>
  </si>
  <si>
    <t>16DO</t>
    <phoneticPr fontId="1" type="noConversion"/>
  </si>
  <si>
    <t>4AI</t>
    <phoneticPr fontId="1" type="noConversion"/>
  </si>
  <si>
    <t>2AO</t>
    <phoneticPr fontId="1" type="noConversion"/>
  </si>
  <si>
    <t>4AO</t>
    <phoneticPr fontId="1" type="noConversion"/>
  </si>
  <si>
    <t>2AI</t>
    <phoneticPr fontId="1" type="noConversion"/>
  </si>
  <si>
    <t>4DI</t>
    <phoneticPr fontId="1" type="noConversion"/>
  </si>
  <si>
    <t>8DI 8DO</t>
    <phoneticPr fontId="1" type="noConversion"/>
  </si>
  <si>
    <t>16DI</t>
    <phoneticPr fontId="1" type="noConversion"/>
  </si>
  <si>
    <t>=P01 - T1,"EL9400"</t>
    <phoneticPr fontId="1" type="noConversion"/>
  </si>
  <si>
    <t>= Q01 - A5,"EL4132, 2AO, 16Bit"</t>
    <phoneticPr fontId="1" type="noConversion"/>
  </si>
  <si>
    <t>=Q01 - A9,"EL8601 - 8411"</t>
    <phoneticPr fontId="1" type="noConversion"/>
  </si>
  <si>
    <t>EL1551</t>
  </si>
  <si>
    <t>EL9400</t>
  </si>
  <si>
    <t>=Q01 - A6,"EL8601 - 8411"</t>
    <phoneticPr fontId="1" type="noConversion"/>
  </si>
  <si>
    <t>EL8601-8411</t>
    <phoneticPr fontId="1" type="noConversion"/>
  </si>
  <si>
    <t>EL8601 - 8411</t>
    <phoneticPr fontId="1" type="noConversion"/>
  </si>
  <si>
    <t>4XTC" 8pin</t>
    <phoneticPr fontId="1" type="noConversion"/>
  </si>
  <si>
    <t xml:space="preserve">机器人模块 1 2 3di  4 5 do 910di 14ao </t>
    <phoneticPr fontId="1" type="noConversion"/>
  </si>
  <si>
    <t>=Q01 - A2,"EL4004"</t>
    <phoneticPr fontId="1" type="noConversion"/>
  </si>
  <si>
    <t>type_name</t>
    <phoneticPr fontId="1" type="noConversion"/>
  </si>
  <si>
    <t>point)count</t>
    <phoneticPr fontId="1" type="noConversion"/>
  </si>
  <si>
    <t>description</t>
    <phoneticPr fontId="1" type="noConversion"/>
  </si>
  <si>
    <t>=A02</t>
  </si>
  <si>
    <t>A1</t>
  </si>
  <si>
    <t>A2</t>
  </si>
  <si>
    <t>A3</t>
  </si>
  <si>
    <t>A4</t>
  </si>
  <si>
    <t>A5</t>
  </si>
  <si>
    <t>=Q01</t>
  </si>
  <si>
    <t>=P01</t>
  </si>
  <si>
    <t>T1</t>
  </si>
  <si>
    <t>= Q0</t>
  </si>
  <si>
    <t xml:space="preserve"> A5</t>
  </si>
  <si>
    <t>A6</t>
  </si>
  <si>
    <t>A7</t>
  </si>
  <si>
    <t>A8</t>
  </si>
  <si>
    <t>A9</t>
  </si>
  <si>
    <t>A10</t>
  </si>
  <si>
    <t>A11</t>
  </si>
  <si>
    <t>A12</t>
  </si>
  <si>
    <t>A13</t>
  </si>
  <si>
    <t>=Q15</t>
  </si>
  <si>
    <t>T2</t>
  </si>
  <si>
    <t>=S02</t>
  </si>
  <si>
    <t>=V01</t>
  </si>
  <si>
    <t>A1.1</t>
  </si>
  <si>
    <t>A2.1</t>
  </si>
  <si>
    <t>A5.1</t>
  </si>
  <si>
    <t>A14</t>
  </si>
  <si>
    <t>Function</t>
    <phoneticPr fontId="1" type="noConversion"/>
  </si>
  <si>
    <t>Device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</si>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</sst>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3" borderId="0" xfId="0" quotePrefix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"/>
  <sheetViews>
    <sheetView workbookViewId="0">
      <selection activeCell="B23" sqref="B23"/>
    </sheetView>
  </sheetViews>
  <sheetFormatPr defaultRowHeight="14" x14ac:dyDescent="0.3"/>
  <cols>
    <col min="1" max="1" width="66.33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44</v>
      </c>
    </row>
    <row r="49" spans="1:1" x14ac:dyDescent="0.3">
      <c r="A49" t="s">
        <v>45</v>
      </c>
    </row>
    <row r="50" spans="1:1" x14ac:dyDescent="0.3">
      <c r="A50" t="s">
        <v>46</v>
      </c>
    </row>
    <row r="51" spans="1:1" x14ac:dyDescent="0.3">
      <c r="A51" t="s">
        <v>47</v>
      </c>
    </row>
    <row r="53" spans="1:1" x14ac:dyDescent="0.3">
      <c r="A53" t="s">
        <v>48</v>
      </c>
    </row>
    <row r="54" spans="1:1" x14ac:dyDescent="0.3">
      <c r="A54" t="s">
        <v>49</v>
      </c>
    </row>
    <row r="55" spans="1:1" x14ac:dyDescent="0.3">
      <c r="A55" t="s">
        <v>50</v>
      </c>
    </row>
    <row r="56" spans="1:1" x14ac:dyDescent="0.3">
      <c r="A56" t="s">
        <v>51</v>
      </c>
    </row>
    <row r="57" spans="1:1" x14ac:dyDescent="0.3">
      <c r="A57" t="s">
        <v>52</v>
      </c>
    </row>
    <row r="58" spans="1:1" x14ac:dyDescent="0.3">
      <c r="A58" t="s">
        <v>53</v>
      </c>
    </row>
    <row r="59" spans="1:1" x14ac:dyDescent="0.3">
      <c r="A59" t="s">
        <v>54</v>
      </c>
    </row>
    <row r="60" spans="1:1" x14ac:dyDescent="0.3">
      <c r="A60" t="s">
        <v>55</v>
      </c>
    </row>
    <row r="62" spans="1:1" x14ac:dyDescent="0.3">
      <c r="A62" t="s">
        <v>56</v>
      </c>
    </row>
    <row r="63" spans="1:1" x14ac:dyDescent="0.3">
      <c r="A63" t="s">
        <v>57</v>
      </c>
    </row>
    <row r="64" spans="1:1" x14ac:dyDescent="0.3">
      <c r="A64" t="s">
        <v>58</v>
      </c>
    </row>
    <row r="65" spans="1:1" x14ac:dyDescent="0.3">
      <c r="A65" t="s">
        <v>59</v>
      </c>
    </row>
    <row r="66" spans="1:1" x14ac:dyDescent="0.3">
      <c r="A66" t="s">
        <v>60</v>
      </c>
    </row>
    <row r="67" spans="1:1" x14ac:dyDescent="0.3">
      <c r="A67" t="s">
        <v>61</v>
      </c>
    </row>
    <row r="68" spans="1:1" x14ac:dyDescent="0.3">
      <c r="A68" t="s">
        <v>62</v>
      </c>
    </row>
    <row r="69" spans="1:1" x14ac:dyDescent="0.3">
      <c r="A69" t="s">
        <v>63</v>
      </c>
    </row>
    <row r="71" spans="1:1" x14ac:dyDescent="0.3">
      <c r="A71" t="s">
        <v>64</v>
      </c>
    </row>
    <row r="72" spans="1:1" x14ac:dyDescent="0.3">
      <c r="A72" t="s">
        <v>65</v>
      </c>
    </row>
    <row r="73" spans="1:1" x14ac:dyDescent="0.3">
      <c r="A73" t="s">
        <v>66</v>
      </c>
    </row>
    <row r="74" spans="1:1" x14ac:dyDescent="0.3">
      <c r="A74" t="s">
        <v>67</v>
      </c>
    </row>
    <row r="75" spans="1:1" x14ac:dyDescent="0.3">
      <c r="A75" t="s">
        <v>68</v>
      </c>
    </row>
    <row r="76" spans="1:1" x14ac:dyDescent="0.3">
      <c r="A76" t="s">
        <v>69</v>
      </c>
    </row>
    <row r="77" spans="1:1" x14ac:dyDescent="0.3">
      <c r="A77" t="s">
        <v>70</v>
      </c>
    </row>
    <row r="78" spans="1:1" x14ac:dyDescent="0.3">
      <c r="A78" t="s">
        <v>71</v>
      </c>
    </row>
    <row r="81" spans="1:1" x14ac:dyDescent="0.3">
      <c r="A81" t="s">
        <v>72</v>
      </c>
    </row>
    <row r="82" spans="1:1" x14ac:dyDescent="0.3">
      <c r="A82" t="s">
        <v>73</v>
      </c>
    </row>
    <row r="83" spans="1:1" x14ac:dyDescent="0.3">
      <c r="A83" t="s">
        <v>74</v>
      </c>
    </row>
    <row r="84" spans="1:1" x14ac:dyDescent="0.3">
      <c r="A84" t="s">
        <v>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7CDB-E8D4-4E30-9238-4E778D52F7D5}">
  <dimension ref="A1:N47"/>
  <sheetViews>
    <sheetView tabSelected="1" workbookViewId="0">
      <selection activeCell="K13" sqref="K13"/>
    </sheetView>
  </sheetViews>
  <sheetFormatPr defaultRowHeight="14" x14ac:dyDescent="0.3"/>
  <cols>
    <col min="1" max="1" width="33.33203125" style="1" customWidth="1"/>
    <col min="2" max="2" width="13.08203125" style="1" customWidth="1"/>
    <col min="3" max="3" width="25.1640625" style="1" customWidth="1"/>
    <col min="4" max="4" width="8.6640625" style="1"/>
    <col min="5" max="5" width="3.5" customWidth="1"/>
    <col min="6" max="6" width="11.08203125" bestFit="1" customWidth="1"/>
    <col min="7" max="7" width="12" bestFit="1" customWidth="1"/>
    <col min="9" max="9" width="9.83203125" customWidth="1"/>
  </cols>
  <sheetData>
    <row r="1" spans="1:14" x14ac:dyDescent="0.3">
      <c r="L1" t="s">
        <v>226</v>
      </c>
      <c r="M1" t="s">
        <v>227</v>
      </c>
      <c r="N1" t="s">
        <v>228</v>
      </c>
    </row>
    <row r="2" spans="1:14" x14ac:dyDescent="0.3">
      <c r="A2" s="1" t="s">
        <v>82</v>
      </c>
      <c r="B2" s="1" t="str">
        <f>LEFT(SUBSTITUTE(A2,"=Q01 - A5,",""),FIND(",",SUBSTITUTE(A2,"=Q01 - A5,",""))-1)</f>
        <v>=A02 - A1</v>
      </c>
      <c r="C2" s="1" t="str">
        <f>RIGHT(A2,LEN(A2)-FIND(",",A2))</f>
        <v>"EL2809"</v>
      </c>
      <c r="D2" s="1" t="str">
        <f>MID(C2,2,6)</f>
        <v>EL2809</v>
      </c>
      <c r="F2" t="s">
        <v>123</v>
      </c>
      <c r="G2" t="s">
        <v>76</v>
      </c>
      <c r="I2" t="str">
        <f>LEFT(F2,4)</f>
        <v>=A02</v>
      </c>
      <c r="J2" t="str">
        <f>MID(F2,8,20)</f>
        <v>A1</v>
      </c>
      <c r="L2" t="s">
        <v>199</v>
      </c>
      <c r="M2" t="s">
        <v>200</v>
      </c>
      <c r="N2" t="s">
        <v>76</v>
      </c>
    </row>
    <row r="3" spans="1:14" x14ac:dyDescent="0.3">
      <c r="A3" s="1" t="s">
        <v>83</v>
      </c>
      <c r="B3" s="1" t="str">
        <f t="shared" ref="B3:B47" si="0">LEFT(SUBSTITUTE(A3,"=Q01 - A5,",""),FIND(",",SUBSTITUTE(A3,"=Q01 - A5,",""))-1)</f>
        <v>=A02 - A2</v>
      </c>
      <c r="C3" s="1" t="str">
        <f t="shared" ref="C3:C47" si="1">RIGHT(A3,LEN(A3)-FIND(",",A3))</f>
        <v>"EL2809"</v>
      </c>
      <c r="D3" s="1" t="str">
        <f t="shared" ref="D3:D47" si="2">MID(C3,2,6)</f>
        <v>EL2809</v>
      </c>
      <c r="F3" t="s">
        <v>124</v>
      </c>
      <c r="G3" t="s">
        <v>76</v>
      </c>
      <c r="I3" t="str">
        <f t="shared" ref="I3:I47" si="3">LEFT(F3,4)</f>
        <v>=A02</v>
      </c>
      <c r="J3" t="str">
        <f t="shared" ref="J3:J47" si="4">MID(F3,8,20)</f>
        <v>A2</v>
      </c>
      <c r="L3" t="s">
        <v>199</v>
      </c>
      <c r="M3" t="s">
        <v>201</v>
      </c>
      <c r="N3" t="s">
        <v>76</v>
      </c>
    </row>
    <row r="4" spans="1:14" x14ac:dyDescent="0.3">
      <c r="A4" s="1" t="s">
        <v>84</v>
      </c>
      <c r="B4" s="1" t="str">
        <f t="shared" si="0"/>
        <v>=A02 - A3</v>
      </c>
      <c r="C4" s="1" t="str">
        <f t="shared" si="1"/>
        <v>"EL1809"</v>
      </c>
      <c r="D4" s="1" t="str">
        <f t="shared" si="2"/>
        <v>EL1809</v>
      </c>
      <c r="F4" t="s">
        <v>125</v>
      </c>
      <c r="G4" t="s">
        <v>77</v>
      </c>
      <c r="I4" t="str">
        <f t="shared" si="3"/>
        <v>=A02</v>
      </c>
      <c r="J4" t="str">
        <f t="shared" si="4"/>
        <v>A3</v>
      </c>
      <c r="L4" t="s">
        <v>199</v>
      </c>
      <c r="M4" t="s">
        <v>202</v>
      </c>
      <c r="N4" t="s">
        <v>77</v>
      </c>
    </row>
    <row r="5" spans="1:14" x14ac:dyDescent="0.3">
      <c r="A5" s="1" t="s">
        <v>85</v>
      </c>
      <c r="B5" s="1" t="str">
        <f t="shared" si="0"/>
        <v>=A02 - A4</v>
      </c>
      <c r="C5" s="1" t="str">
        <f t="shared" si="1"/>
        <v>"EL3204"</v>
      </c>
      <c r="D5" s="1" t="str">
        <f t="shared" si="2"/>
        <v>EL3204</v>
      </c>
      <c r="F5" t="s">
        <v>126</v>
      </c>
      <c r="G5" t="s">
        <v>78</v>
      </c>
      <c r="I5" t="str">
        <f t="shared" si="3"/>
        <v>=A02</v>
      </c>
      <c r="J5" t="str">
        <f t="shared" si="4"/>
        <v>A4</v>
      </c>
      <c r="L5" t="s">
        <v>199</v>
      </c>
      <c r="M5" t="s">
        <v>203</v>
      </c>
      <c r="N5" t="s">
        <v>78</v>
      </c>
    </row>
    <row r="6" spans="1:14" x14ac:dyDescent="0.3">
      <c r="A6" s="1" t="s">
        <v>86</v>
      </c>
      <c r="B6" s="1" t="str">
        <f t="shared" si="0"/>
        <v>=A02 - A5</v>
      </c>
      <c r="C6" s="1" t="str">
        <f t="shared" si="1"/>
        <v>"EL3403 - 0010 3AC/5A"</v>
      </c>
      <c r="D6" s="1" t="str">
        <f t="shared" si="2"/>
        <v>EL3403</v>
      </c>
      <c r="F6" t="s">
        <v>127</v>
      </c>
      <c r="G6" t="s">
        <v>168</v>
      </c>
      <c r="I6" t="str">
        <f t="shared" si="3"/>
        <v>=A02</v>
      </c>
      <c r="J6" t="str">
        <f t="shared" si="4"/>
        <v>A5</v>
      </c>
      <c r="L6" t="s">
        <v>199</v>
      </c>
      <c r="M6" t="s">
        <v>204</v>
      </c>
      <c r="N6" t="s">
        <v>168</v>
      </c>
    </row>
    <row r="7" spans="1:14" x14ac:dyDescent="0.3">
      <c r="A7" s="1" t="s">
        <v>87</v>
      </c>
      <c r="B7" s="1" t="str">
        <f t="shared" si="0"/>
        <v>=Q01 - A1</v>
      </c>
      <c r="C7" s="1" t="str">
        <f t="shared" si="1"/>
        <v>"EL1859"</v>
      </c>
      <c r="D7" s="1" t="str">
        <f t="shared" si="2"/>
        <v>EL1859</v>
      </c>
      <c r="F7" t="s">
        <v>128</v>
      </c>
      <c r="G7" t="s">
        <v>79</v>
      </c>
      <c r="I7" t="str">
        <f t="shared" si="3"/>
        <v>=Q01</v>
      </c>
      <c r="J7" t="str">
        <f t="shared" si="4"/>
        <v>A1</v>
      </c>
      <c r="L7" t="s">
        <v>205</v>
      </c>
      <c r="M7" t="s">
        <v>200</v>
      </c>
      <c r="N7" t="s">
        <v>79</v>
      </c>
    </row>
    <row r="8" spans="1:14" x14ac:dyDescent="0.3">
      <c r="A8" s="3" t="s">
        <v>195</v>
      </c>
      <c r="B8" s="1" t="str">
        <f t="shared" si="0"/>
        <v>=Q01 - A2</v>
      </c>
      <c r="C8" s="1" t="str">
        <f t="shared" si="1"/>
        <v>"EL4004"</v>
      </c>
      <c r="D8" s="1" t="str">
        <f t="shared" si="2"/>
        <v>EL4004</v>
      </c>
      <c r="F8" t="s">
        <v>129</v>
      </c>
      <c r="G8" t="s">
        <v>188</v>
      </c>
      <c r="I8" t="str">
        <f t="shared" si="3"/>
        <v>=Q01</v>
      </c>
      <c r="J8" t="str">
        <f t="shared" si="4"/>
        <v>A2</v>
      </c>
      <c r="L8" t="s">
        <v>205</v>
      </c>
      <c r="M8" t="s">
        <v>201</v>
      </c>
      <c r="N8" t="s">
        <v>188</v>
      </c>
    </row>
    <row r="9" spans="1:14" x14ac:dyDescent="0.3">
      <c r="A9" s="1" t="s">
        <v>88</v>
      </c>
      <c r="B9" s="1" t="str">
        <f t="shared" si="0"/>
        <v>=Q01 - A3</v>
      </c>
      <c r="C9" s="1" t="str">
        <f t="shared" si="1"/>
        <v>"EL3064, 4AI"</v>
      </c>
      <c r="D9" s="1" t="str">
        <f t="shared" si="2"/>
        <v>EL3064</v>
      </c>
      <c r="F9" t="s">
        <v>130</v>
      </c>
      <c r="G9" t="s">
        <v>169</v>
      </c>
      <c r="I9" t="str">
        <f t="shared" si="3"/>
        <v>=Q01</v>
      </c>
      <c r="J9" t="str">
        <f t="shared" si="4"/>
        <v>A3</v>
      </c>
      <c r="L9" t="s">
        <v>205</v>
      </c>
      <c r="M9" t="s">
        <v>202</v>
      </c>
      <c r="N9" t="s">
        <v>169</v>
      </c>
    </row>
    <row r="10" spans="1:14" x14ac:dyDescent="0.3">
      <c r="A10" s="1" t="s">
        <v>89</v>
      </c>
      <c r="B10" s="1" t="str">
        <f t="shared" si="0"/>
        <v>=Q01 - A4</v>
      </c>
      <c r="C10" s="1" t="str">
        <f t="shared" si="1"/>
        <v>"EL1859"</v>
      </c>
      <c r="D10" s="1" t="str">
        <f t="shared" si="2"/>
        <v>EL1859</v>
      </c>
      <c r="F10" t="s">
        <v>131</v>
      </c>
      <c r="G10" t="s">
        <v>79</v>
      </c>
      <c r="I10" t="str">
        <f t="shared" si="3"/>
        <v>=Q01</v>
      </c>
      <c r="J10" t="str">
        <f t="shared" si="4"/>
        <v>A4</v>
      </c>
      <c r="L10" t="s">
        <v>205</v>
      </c>
      <c r="M10" t="s">
        <v>203</v>
      </c>
      <c r="N10" t="s">
        <v>79</v>
      </c>
    </row>
    <row r="11" spans="1:14" x14ac:dyDescent="0.3">
      <c r="A11" s="3" t="s">
        <v>185</v>
      </c>
      <c r="B11" s="1" t="str">
        <f t="shared" si="0"/>
        <v>=P01 - T1</v>
      </c>
      <c r="C11" s="1" t="str">
        <f t="shared" si="1"/>
        <v>"EL9400"</v>
      </c>
      <c r="D11" s="1" t="str">
        <f t="shared" si="2"/>
        <v>EL9400</v>
      </c>
      <c r="F11" t="s">
        <v>132</v>
      </c>
      <c r="G11" t="s">
        <v>189</v>
      </c>
      <c r="I11" t="str">
        <f t="shared" si="3"/>
        <v>=P01</v>
      </c>
      <c r="J11" t="str">
        <f t="shared" si="4"/>
        <v>T1</v>
      </c>
      <c r="L11" t="s">
        <v>206</v>
      </c>
      <c r="M11" t="s">
        <v>207</v>
      </c>
      <c r="N11" t="s">
        <v>189</v>
      </c>
    </row>
    <row r="12" spans="1:14" x14ac:dyDescent="0.3">
      <c r="A12" s="3" t="s">
        <v>186</v>
      </c>
      <c r="B12" s="1" t="str">
        <f t="shared" si="0"/>
        <v>= Q01 - A5</v>
      </c>
      <c r="C12" s="1" t="str">
        <f t="shared" si="1"/>
        <v>"EL4132, 2AO, 16Bit"</v>
      </c>
      <c r="D12" s="1" t="str">
        <f t="shared" si="2"/>
        <v>EL4132</v>
      </c>
      <c r="F12" t="s">
        <v>176</v>
      </c>
      <c r="G12" t="s">
        <v>170</v>
      </c>
      <c r="H12" s="1"/>
      <c r="I12" t="str">
        <f t="shared" si="3"/>
        <v>= Q0</v>
      </c>
      <c r="J12" t="str">
        <f t="shared" si="4"/>
        <v xml:space="preserve"> A5</v>
      </c>
      <c r="L12" t="s">
        <v>208</v>
      </c>
      <c r="M12" t="s">
        <v>209</v>
      </c>
      <c r="N12" t="s">
        <v>170</v>
      </c>
    </row>
    <row r="13" spans="1:14" x14ac:dyDescent="0.3">
      <c r="A13" s="3" t="s">
        <v>190</v>
      </c>
      <c r="B13" s="1" t="str">
        <f t="shared" si="0"/>
        <v>=Q01 - A6</v>
      </c>
      <c r="C13" s="1" t="str">
        <f t="shared" si="1"/>
        <v>"EL8601 - 8411"</v>
      </c>
      <c r="D13" s="1" t="str">
        <f t="shared" si="2"/>
        <v>EL8601</v>
      </c>
      <c r="F13" t="s">
        <v>133</v>
      </c>
      <c r="G13" t="s">
        <v>191</v>
      </c>
      <c r="I13" t="str">
        <f t="shared" si="3"/>
        <v>=Q01</v>
      </c>
      <c r="J13" t="str">
        <f t="shared" si="4"/>
        <v>A6</v>
      </c>
      <c r="L13" t="s">
        <v>205</v>
      </c>
      <c r="M13" t="s">
        <v>210</v>
      </c>
      <c r="N13" t="s">
        <v>191</v>
      </c>
    </row>
    <row r="14" spans="1:14" x14ac:dyDescent="0.3">
      <c r="A14" s="1" t="s">
        <v>90</v>
      </c>
      <c r="B14" s="1" t="str">
        <f t="shared" si="0"/>
        <v>=Q01 - A7</v>
      </c>
      <c r="C14" s="1" t="str">
        <f t="shared" si="1"/>
        <v>"EL1859"</v>
      </c>
      <c r="D14" s="1" t="str">
        <f t="shared" si="2"/>
        <v>EL1859</v>
      </c>
      <c r="F14" t="s">
        <v>134</v>
      </c>
      <c r="G14" t="s">
        <v>79</v>
      </c>
      <c r="I14" t="str">
        <f t="shared" si="3"/>
        <v>=Q01</v>
      </c>
      <c r="J14" t="str">
        <f t="shared" si="4"/>
        <v>A7</v>
      </c>
      <c r="L14" t="s">
        <v>205</v>
      </c>
      <c r="M14" t="s">
        <v>211</v>
      </c>
      <c r="N14" t="s">
        <v>79</v>
      </c>
    </row>
    <row r="15" spans="1:14" x14ac:dyDescent="0.3">
      <c r="A15" s="1" t="s">
        <v>91</v>
      </c>
      <c r="B15" s="1" t="str">
        <f t="shared" si="0"/>
        <v>=Q01 - A8</v>
      </c>
      <c r="C15" s="1" t="str">
        <f t="shared" si="1"/>
        <v>"EL4132, 2AO, 16Bit"</v>
      </c>
      <c r="D15" s="1" t="str">
        <f t="shared" si="2"/>
        <v>EL4132</v>
      </c>
      <c r="F15" t="s">
        <v>135</v>
      </c>
      <c r="G15" t="s">
        <v>170</v>
      </c>
      <c r="I15" t="str">
        <f t="shared" si="3"/>
        <v>=Q01</v>
      </c>
      <c r="J15" t="str">
        <f t="shared" si="4"/>
        <v>A8</v>
      </c>
      <c r="L15" t="s">
        <v>205</v>
      </c>
      <c r="M15" t="s">
        <v>212</v>
      </c>
      <c r="N15" t="s">
        <v>170</v>
      </c>
    </row>
    <row r="16" spans="1:14" x14ac:dyDescent="0.3">
      <c r="A16" s="2" t="s">
        <v>187</v>
      </c>
      <c r="B16" s="1" t="str">
        <f t="shared" si="0"/>
        <v>=Q01 - A9</v>
      </c>
      <c r="C16" s="1" t="str">
        <f t="shared" si="1"/>
        <v>"EL8601 - 8411"</v>
      </c>
      <c r="D16" s="1" t="str">
        <f t="shared" si="2"/>
        <v>EL8601</v>
      </c>
      <c r="F16" t="s">
        <v>136</v>
      </c>
      <c r="G16" t="s">
        <v>191</v>
      </c>
      <c r="I16" t="str">
        <f t="shared" si="3"/>
        <v>=Q01</v>
      </c>
      <c r="J16" t="str">
        <f t="shared" si="4"/>
        <v>A9</v>
      </c>
      <c r="L16" t="s">
        <v>205</v>
      </c>
      <c r="M16" t="s">
        <v>213</v>
      </c>
      <c r="N16" t="s">
        <v>191</v>
      </c>
    </row>
    <row r="17" spans="1:14" x14ac:dyDescent="0.3">
      <c r="A17" s="1" t="s">
        <v>92</v>
      </c>
      <c r="B17" s="1" t="str">
        <f t="shared" si="0"/>
        <v>=Q01 - A10</v>
      </c>
      <c r="C17" s="1" t="str">
        <f t="shared" si="1"/>
        <v>"EL4004, 4AO"</v>
      </c>
      <c r="D17" s="1" t="str">
        <f t="shared" si="2"/>
        <v>EL4004</v>
      </c>
      <c r="F17" t="s">
        <v>137</v>
      </c>
      <c r="G17" t="s">
        <v>171</v>
      </c>
      <c r="I17" t="str">
        <f t="shared" si="3"/>
        <v>=Q01</v>
      </c>
      <c r="J17" t="str">
        <f t="shared" si="4"/>
        <v>A10</v>
      </c>
      <c r="L17" t="s">
        <v>205</v>
      </c>
      <c r="M17" t="s">
        <v>214</v>
      </c>
      <c r="N17" t="s">
        <v>171</v>
      </c>
    </row>
    <row r="18" spans="1:14" x14ac:dyDescent="0.3">
      <c r="A18" s="1" t="s">
        <v>93</v>
      </c>
      <c r="B18" s="1" t="str">
        <f t="shared" si="0"/>
        <v>=Q01 - A11</v>
      </c>
      <c r="C18" s="1" t="str">
        <f t="shared" si="1"/>
        <v>"EL3064, 4AI"</v>
      </c>
      <c r="D18" s="1" t="str">
        <f t="shared" si="2"/>
        <v>EL3064</v>
      </c>
      <c r="F18" t="s">
        <v>138</v>
      </c>
      <c r="G18" t="s">
        <v>169</v>
      </c>
      <c r="I18" t="str">
        <f t="shared" si="3"/>
        <v>=Q01</v>
      </c>
      <c r="J18" t="str">
        <f t="shared" si="4"/>
        <v>A11</v>
      </c>
      <c r="L18" t="s">
        <v>205</v>
      </c>
      <c r="M18" t="s">
        <v>215</v>
      </c>
      <c r="N18" t="s">
        <v>169</v>
      </c>
    </row>
    <row r="19" spans="1:14" x14ac:dyDescent="0.3">
      <c r="A19" s="1" t="s">
        <v>94</v>
      </c>
      <c r="B19" s="1" t="str">
        <f t="shared" si="0"/>
        <v>=Q01 - A12</v>
      </c>
      <c r="C19" s="1" t="str">
        <f t="shared" si="1"/>
        <v>"EL3162, 2AI"</v>
      </c>
      <c r="D19" s="1" t="str">
        <f t="shared" si="2"/>
        <v>EL3162</v>
      </c>
      <c r="F19" t="s">
        <v>139</v>
      </c>
      <c r="G19" t="s">
        <v>172</v>
      </c>
      <c r="I19" t="str">
        <f t="shared" si="3"/>
        <v>=Q01</v>
      </c>
      <c r="J19" t="str">
        <f t="shared" si="4"/>
        <v>A12</v>
      </c>
      <c r="L19" t="s">
        <v>205</v>
      </c>
      <c r="M19" t="s">
        <v>216</v>
      </c>
      <c r="N19" t="s">
        <v>172</v>
      </c>
    </row>
    <row r="20" spans="1:14" x14ac:dyDescent="0.3">
      <c r="A20" s="1" t="s">
        <v>95</v>
      </c>
      <c r="B20" s="1" t="str">
        <f t="shared" si="0"/>
        <v>=Q01 - A13</v>
      </c>
      <c r="C20" s="1" t="str">
        <f t="shared" si="1"/>
        <v>"EL1004, 4DI (3.0ms)"</v>
      </c>
      <c r="D20" s="1" t="str">
        <f t="shared" si="2"/>
        <v>EL1004</v>
      </c>
      <c r="F20" t="s">
        <v>140</v>
      </c>
      <c r="G20" t="s">
        <v>173</v>
      </c>
      <c r="I20" t="str">
        <f t="shared" si="3"/>
        <v>=Q01</v>
      </c>
      <c r="J20" t="str">
        <f t="shared" si="4"/>
        <v>A13</v>
      </c>
      <c r="L20" t="s">
        <v>205</v>
      </c>
      <c r="M20" t="s">
        <v>217</v>
      </c>
      <c r="N20" t="s">
        <v>173</v>
      </c>
    </row>
    <row r="21" spans="1:14" x14ac:dyDescent="0.3">
      <c r="A21" s="1" t="s">
        <v>96</v>
      </c>
      <c r="B21" s="1" t="str">
        <f t="shared" si="0"/>
        <v>=Q15 - A1</v>
      </c>
      <c r="C21" s="1" t="str">
        <f t="shared" si="1"/>
        <v>"EL2809, 16DO"</v>
      </c>
      <c r="D21" s="1" t="str">
        <f t="shared" si="2"/>
        <v>EL2809</v>
      </c>
      <c r="F21" t="s">
        <v>141</v>
      </c>
      <c r="G21" t="s">
        <v>76</v>
      </c>
      <c r="I21" t="str">
        <f t="shared" si="3"/>
        <v>=Q15</v>
      </c>
      <c r="J21" t="str">
        <f t="shared" si="4"/>
        <v>A1</v>
      </c>
      <c r="L21" t="s">
        <v>218</v>
      </c>
      <c r="M21" t="s">
        <v>200</v>
      </c>
      <c r="N21" t="s">
        <v>76</v>
      </c>
    </row>
    <row r="22" spans="1:14" x14ac:dyDescent="0.3">
      <c r="A22" s="1" t="s">
        <v>97</v>
      </c>
      <c r="B22" s="1" t="str">
        <f t="shared" si="0"/>
        <v>=Q15 - A2</v>
      </c>
      <c r="C22" s="1" t="str">
        <f t="shared" si="1"/>
        <v>"EL1809, 16DI"</v>
      </c>
      <c r="D22" s="1" t="str">
        <f t="shared" si="2"/>
        <v>EL1809</v>
      </c>
      <c r="F22" t="s">
        <v>142</v>
      </c>
      <c r="G22" t="s">
        <v>77</v>
      </c>
      <c r="I22" t="str">
        <f t="shared" si="3"/>
        <v>=Q15</v>
      </c>
      <c r="J22" t="str">
        <f t="shared" si="4"/>
        <v>A2</v>
      </c>
      <c r="L22" t="s">
        <v>218</v>
      </c>
      <c r="M22" t="s">
        <v>201</v>
      </c>
      <c r="N22" t="s">
        <v>77</v>
      </c>
    </row>
    <row r="23" spans="1:14" x14ac:dyDescent="0.3">
      <c r="A23" s="1" t="s">
        <v>98</v>
      </c>
      <c r="B23" s="1" t="str">
        <f t="shared" si="0"/>
        <v>=Q15 - A3</v>
      </c>
      <c r="C23" s="1" t="str">
        <f t="shared" si="1"/>
        <v>"EL4004, 4AO"</v>
      </c>
      <c r="D23" s="1" t="str">
        <f t="shared" si="2"/>
        <v>EL4004</v>
      </c>
      <c r="F23" t="s">
        <v>143</v>
      </c>
      <c r="G23" t="s">
        <v>171</v>
      </c>
      <c r="I23" t="str">
        <f t="shared" si="3"/>
        <v>=Q15</v>
      </c>
      <c r="J23" t="str">
        <f t="shared" si="4"/>
        <v>A3</v>
      </c>
      <c r="L23" t="s">
        <v>218</v>
      </c>
      <c r="M23" t="s">
        <v>202</v>
      </c>
      <c r="N23" t="s">
        <v>171</v>
      </c>
    </row>
    <row r="24" spans="1:14" x14ac:dyDescent="0.3">
      <c r="A24" s="1" t="s">
        <v>99</v>
      </c>
      <c r="B24" s="1" t="str">
        <f t="shared" si="0"/>
        <v>=Q15 - A4</v>
      </c>
      <c r="C24" s="1" t="str">
        <f t="shared" si="1"/>
        <v>"EL3064, 4AI"</v>
      </c>
      <c r="D24" s="1" t="str">
        <f t="shared" si="2"/>
        <v>EL3064</v>
      </c>
      <c r="F24" t="s">
        <v>144</v>
      </c>
      <c r="G24" t="s">
        <v>169</v>
      </c>
      <c r="I24" t="str">
        <f t="shared" si="3"/>
        <v>=Q15</v>
      </c>
      <c r="J24" t="str">
        <f t="shared" si="4"/>
        <v>A4</v>
      </c>
      <c r="L24" t="s">
        <v>218</v>
      </c>
      <c r="M24" t="s">
        <v>203</v>
      </c>
      <c r="N24" t="s">
        <v>169</v>
      </c>
    </row>
    <row r="25" spans="1:14" x14ac:dyDescent="0.3">
      <c r="A25" s="1" t="s">
        <v>100</v>
      </c>
      <c r="B25" s="1" t="str">
        <f t="shared" si="0"/>
        <v>=Q15 - A5</v>
      </c>
      <c r="C25" s="1" t="str">
        <f t="shared" si="1"/>
        <v>"EL4004, 4AO"</v>
      </c>
      <c r="D25" s="1" t="str">
        <f t="shared" si="2"/>
        <v>EL4004</v>
      </c>
      <c r="F25" t="s">
        <v>145</v>
      </c>
      <c r="G25" t="s">
        <v>171</v>
      </c>
      <c r="I25" t="str">
        <f t="shared" si="3"/>
        <v>=Q15</v>
      </c>
      <c r="J25" t="str">
        <f t="shared" si="4"/>
        <v>A5</v>
      </c>
      <c r="L25" t="s">
        <v>218</v>
      </c>
      <c r="M25" t="s">
        <v>204</v>
      </c>
      <c r="N25" t="s">
        <v>171</v>
      </c>
    </row>
    <row r="26" spans="1:14" x14ac:dyDescent="0.3">
      <c r="A26" s="1" t="s">
        <v>101</v>
      </c>
      <c r="B26" s="1" t="str">
        <f t="shared" si="0"/>
        <v>=Q15 - A6</v>
      </c>
      <c r="C26" s="1" t="str">
        <f t="shared" si="1"/>
        <v>"EL3064, 4AI"</v>
      </c>
      <c r="D26" s="1" t="str">
        <f t="shared" si="2"/>
        <v>EL3064</v>
      </c>
      <c r="F26" t="s">
        <v>146</v>
      </c>
      <c r="G26" t="s">
        <v>169</v>
      </c>
      <c r="I26" t="str">
        <f t="shared" si="3"/>
        <v>=Q15</v>
      </c>
      <c r="J26" t="str">
        <f t="shared" si="4"/>
        <v>A6</v>
      </c>
      <c r="L26" t="s">
        <v>218</v>
      </c>
      <c r="M26" t="s">
        <v>210</v>
      </c>
      <c r="N26" t="s">
        <v>169</v>
      </c>
    </row>
    <row r="27" spans="1:14" x14ac:dyDescent="0.3">
      <c r="A27" s="1" t="s">
        <v>102</v>
      </c>
      <c r="B27" s="1" t="str">
        <f t="shared" si="0"/>
        <v>=P01 - T2</v>
      </c>
      <c r="C27" s="1" t="str">
        <f t="shared" si="1"/>
        <v>"EL9100"</v>
      </c>
      <c r="D27" s="1" t="str">
        <f t="shared" si="2"/>
        <v>EL9100</v>
      </c>
      <c r="F27" t="s">
        <v>147</v>
      </c>
      <c r="G27" t="s">
        <v>80</v>
      </c>
      <c r="I27" t="str">
        <f t="shared" si="3"/>
        <v>=P01</v>
      </c>
      <c r="J27" t="str">
        <f t="shared" si="4"/>
        <v>T2</v>
      </c>
      <c r="L27" t="s">
        <v>206</v>
      </c>
      <c r="M27" t="s">
        <v>219</v>
      </c>
      <c r="N27" t="s">
        <v>80</v>
      </c>
    </row>
    <row r="28" spans="1:14" x14ac:dyDescent="0.3">
      <c r="A28" s="1" t="s">
        <v>103</v>
      </c>
      <c r="B28" s="1" t="str">
        <f t="shared" si="0"/>
        <v>=Q15 - A7</v>
      </c>
      <c r="C28" s="1" t="str">
        <f t="shared" si="1"/>
        <v>"EL4004, 4AO"</v>
      </c>
      <c r="D28" s="1" t="str">
        <f t="shared" si="2"/>
        <v>EL4004</v>
      </c>
      <c r="F28" t="s">
        <v>148</v>
      </c>
      <c r="G28" t="s">
        <v>171</v>
      </c>
      <c r="I28" t="str">
        <f t="shared" si="3"/>
        <v>=Q15</v>
      </c>
      <c r="J28" t="str">
        <f t="shared" si="4"/>
        <v>A7</v>
      </c>
      <c r="L28" t="s">
        <v>218</v>
      </c>
      <c r="M28" t="s">
        <v>211</v>
      </c>
      <c r="N28" t="s">
        <v>171</v>
      </c>
    </row>
    <row r="29" spans="1:14" x14ac:dyDescent="0.3">
      <c r="A29" s="1" t="s">
        <v>104</v>
      </c>
      <c r="B29" s="1" t="str">
        <f t="shared" si="0"/>
        <v>=Q15 - A8</v>
      </c>
      <c r="C29" s="1" t="str">
        <f t="shared" si="1"/>
        <v>"EL3064, 4AI"</v>
      </c>
      <c r="D29" s="1" t="str">
        <f t="shared" si="2"/>
        <v>EL3064</v>
      </c>
      <c r="F29" t="s">
        <v>149</v>
      </c>
      <c r="G29" t="s">
        <v>169</v>
      </c>
      <c r="I29" t="str">
        <f t="shared" si="3"/>
        <v>=Q15</v>
      </c>
      <c r="J29" t="str">
        <f t="shared" si="4"/>
        <v>A8</v>
      </c>
      <c r="L29" t="s">
        <v>218</v>
      </c>
      <c r="M29" t="s">
        <v>212</v>
      </c>
      <c r="N29" t="s">
        <v>169</v>
      </c>
    </row>
    <row r="30" spans="1:14" x14ac:dyDescent="0.3">
      <c r="A30" s="1" t="s">
        <v>105</v>
      </c>
      <c r="B30" s="1" t="str">
        <f t="shared" si="0"/>
        <v>=Q15 - A9</v>
      </c>
      <c r="C30" s="1" t="str">
        <f t="shared" si="1"/>
        <v>"EL1859"</v>
      </c>
      <c r="D30" s="1" t="str">
        <f t="shared" si="2"/>
        <v>EL1859</v>
      </c>
      <c r="F30" t="s">
        <v>150</v>
      </c>
      <c r="G30" t="s">
        <v>79</v>
      </c>
      <c r="I30" t="str">
        <f t="shared" si="3"/>
        <v>=Q15</v>
      </c>
      <c r="J30" t="str">
        <f t="shared" si="4"/>
        <v>A9</v>
      </c>
      <c r="L30" t="s">
        <v>218</v>
      </c>
      <c r="M30" t="s">
        <v>213</v>
      </c>
      <c r="N30" t="s">
        <v>79</v>
      </c>
    </row>
    <row r="31" spans="1:14" x14ac:dyDescent="0.3">
      <c r="A31" s="1" t="s">
        <v>106</v>
      </c>
      <c r="B31" s="1" t="str">
        <f t="shared" si="0"/>
        <v>=Q15 - A10</v>
      </c>
      <c r="C31" s="1" t="str">
        <f t="shared" si="1"/>
        <v>"EL4004, 4AO"</v>
      </c>
      <c r="D31" s="1" t="str">
        <f t="shared" si="2"/>
        <v>EL4004</v>
      </c>
      <c r="F31" t="s">
        <v>151</v>
      </c>
      <c r="G31" t="s">
        <v>171</v>
      </c>
      <c r="I31" t="str">
        <f t="shared" si="3"/>
        <v>=Q15</v>
      </c>
      <c r="J31" t="str">
        <f t="shared" si="4"/>
        <v>A10</v>
      </c>
      <c r="L31" t="s">
        <v>218</v>
      </c>
      <c r="M31" t="s">
        <v>214</v>
      </c>
      <c r="N31" t="s">
        <v>171</v>
      </c>
    </row>
    <row r="32" spans="1:14" x14ac:dyDescent="0.3">
      <c r="A32" s="1" t="s">
        <v>107</v>
      </c>
      <c r="B32" s="1" t="str">
        <f t="shared" si="0"/>
        <v>=Q15 - A11</v>
      </c>
      <c r="C32" s="1" t="str">
        <f t="shared" si="1"/>
        <v>"EL3064, 4AI"</v>
      </c>
      <c r="D32" s="1" t="str">
        <f t="shared" si="2"/>
        <v>EL3064</v>
      </c>
      <c r="F32" t="s">
        <v>152</v>
      </c>
      <c r="G32" t="s">
        <v>169</v>
      </c>
      <c r="I32" t="str">
        <f t="shared" si="3"/>
        <v>=Q15</v>
      </c>
      <c r="J32" t="str">
        <f t="shared" si="4"/>
        <v>A11</v>
      </c>
      <c r="L32" t="s">
        <v>218</v>
      </c>
      <c r="M32" t="s">
        <v>215</v>
      </c>
      <c r="N32" t="s">
        <v>169</v>
      </c>
    </row>
    <row r="33" spans="1:14" x14ac:dyDescent="0.3">
      <c r="A33" s="1" t="s">
        <v>108</v>
      </c>
      <c r="B33" s="1" t="str">
        <f t="shared" si="0"/>
        <v>=Q15 - A12</v>
      </c>
      <c r="C33" s="1" t="str">
        <f t="shared" si="1"/>
        <v>"EL3064, 4AI"</v>
      </c>
      <c r="D33" s="1" t="str">
        <f t="shared" si="2"/>
        <v>EL3064</v>
      </c>
      <c r="F33" t="s">
        <v>153</v>
      </c>
      <c r="G33" t="s">
        <v>169</v>
      </c>
      <c r="I33" t="str">
        <f t="shared" si="3"/>
        <v>=Q15</v>
      </c>
      <c r="J33" t="str">
        <f t="shared" si="4"/>
        <v>A12</v>
      </c>
      <c r="L33" t="s">
        <v>218</v>
      </c>
      <c r="M33" t="s">
        <v>216</v>
      </c>
      <c r="N33" t="s">
        <v>169</v>
      </c>
    </row>
    <row r="34" spans="1:14" x14ac:dyDescent="0.3">
      <c r="A34" s="1" t="s">
        <v>109</v>
      </c>
      <c r="B34" s="1" t="str">
        <f t="shared" si="0"/>
        <v>=S02 - A1</v>
      </c>
      <c r="C34" s="1" t="str">
        <f t="shared" si="1"/>
        <v>"EL1859"</v>
      </c>
      <c r="D34" s="1" t="str">
        <f t="shared" si="2"/>
        <v>EL1859</v>
      </c>
      <c r="F34" t="s">
        <v>154</v>
      </c>
      <c r="G34" t="s">
        <v>79</v>
      </c>
      <c r="I34" t="str">
        <f t="shared" si="3"/>
        <v>=S02</v>
      </c>
      <c r="J34" t="str">
        <f t="shared" si="4"/>
        <v>A1</v>
      </c>
      <c r="L34" t="s">
        <v>220</v>
      </c>
      <c r="M34" t="s">
        <v>200</v>
      </c>
      <c r="N34" t="s">
        <v>79</v>
      </c>
    </row>
    <row r="35" spans="1:14" x14ac:dyDescent="0.3">
      <c r="A35" s="1" t="s">
        <v>110</v>
      </c>
      <c r="B35" s="1" t="str">
        <f t="shared" si="0"/>
        <v>=V01 - A1</v>
      </c>
      <c r="C35" s="1" t="str">
        <f t="shared" si="1"/>
        <v>"EL2809, 16DO"</v>
      </c>
      <c r="D35" s="1" t="str">
        <f t="shared" si="2"/>
        <v>EL2809</v>
      </c>
      <c r="F35" t="s">
        <v>155</v>
      </c>
      <c r="G35" t="s">
        <v>76</v>
      </c>
      <c r="I35" t="str">
        <f t="shared" si="3"/>
        <v>=V01</v>
      </c>
      <c r="J35" t="str">
        <f t="shared" si="4"/>
        <v>A1</v>
      </c>
      <c r="L35" t="s">
        <v>221</v>
      </c>
      <c r="M35" t="s">
        <v>200</v>
      </c>
      <c r="N35" t="s">
        <v>76</v>
      </c>
    </row>
    <row r="36" spans="1:14" x14ac:dyDescent="0.3">
      <c r="A36" s="1" t="s">
        <v>111</v>
      </c>
      <c r="B36" s="1" t="str">
        <f t="shared" si="0"/>
        <v>=V01 - A1.1</v>
      </c>
      <c r="C36" s="1" t="str">
        <f t="shared" si="1"/>
        <v>"EL9100"</v>
      </c>
      <c r="D36" s="1" t="str">
        <f t="shared" si="2"/>
        <v>EL9100</v>
      </c>
      <c r="F36" t="s">
        <v>156</v>
      </c>
      <c r="G36" t="s">
        <v>80</v>
      </c>
      <c r="I36" t="str">
        <f t="shared" si="3"/>
        <v>=V01</v>
      </c>
      <c r="J36" t="str">
        <f t="shared" si="4"/>
        <v>A1.1</v>
      </c>
      <c r="L36" t="s">
        <v>221</v>
      </c>
      <c r="M36" t="s">
        <v>222</v>
      </c>
      <c r="N36" t="s">
        <v>80</v>
      </c>
    </row>
    <row r="37" spans="1:14" x14ac:dyDescent="0.3">
      <c r="A37" s="1" t="s">
        <v>112</v>
      </c>
      <c r="B37" s="1" t="str">
        <f t="shared" si="0"/>
        <v>=V01 - A2</v>
      </c>
      <c r="C37" s="1" t="str">
        <f t="shared" si="1"/>
        <v>"EL2809, 16DO"</v>
      </c>
      <c r="D37" s="1" t="str">
        <f t="shared" si="2"/>
        <v>EL2809</v>
      </c>
      <c r="F37" t="s">
        <v>157</v>
      </c>
      <c r="G37" t="s">
        <v>76</v>
      </c>
      <c r="I37" t="str">
        <f t="shared" si="3"/>
        <v>=V01</v>
      </c>
      <c r="J37" t="str">
        <f t="shared" si="4"/>
        <v>A2</v>
      </c>
      <c r="L37" t="s">
        <v>221</v>
      </c>
      <c r="M37" t="s">
        <v>201</v>
      </c>
      <c r="N37" t="s">
        <v>76</v>
      </c>
    </row>
    <row r="38" spans="1:14" x14ac:dyDescent="0.3">
      <c r="A38" s="1" t="s">
        <v>113</v>
      </c>
      <c r="B38" s="1" t="str">
        <f t="shared" si="0"/>
        <v>=V01 - A2.1</v>
      </c>
      <c r="C38" s="1" t="str">
        <f t="shared" si="1"/>
        <v>"EL9100"</v>
      </c>
      <c r="D38" s="1" t="str">
        <f t="shared" si="2"/>
        <v>EL9100</v>
      </c>
      <c r="F38" t="s">
        <v>158</v>
      </c>
      <c r="G38" t="s">
        <v>80</v>
      </c>
      <c r="I38" t="str">
        <f t="shared" si="3"/>
        <v>=V01</v>
      </c>
      <c r="J38" t="str">
        <f t="shared" si="4"/>
        <v>A2.1</v>
      </c>
      <c r="L38" t="s">
        <v>221</v>
      </c>
      <c r="M38" t="s">
        <v>223</v>
      </c>
      <c r="N38" t="s">
        <v>80</v>
      </c>
    </row>
    <row r="39" spans="1:14" x14ac:dyDescent="0.3">
      <c r="A39" s="1" t="s">
        <v>114</v>
      </c>
      <c r="B39" s="1" t="str">
        <f t="shared" si="0"/>
        <v>=V01 - A3</v>
      </c>
      <c r="C39" s="1" t="str">
        <f t="shared" si="1"/>
        <v>"EL1809, 16DI"</v>
      </c>
      <c r="D39" s="1" t="str">
        <f t="shared" si="2"/>
        <v>EL1809</v>
      </c>
      <c r="F39" t="s">
        <v>159</v>
      </c>
      <c r="G39" t="s">
        <v>77</v>
      </c>
      <c r="I39" t="str">
        <f t="shared" si="3"/>
        <v>=V01</v>
      </c>
      <c r="J39" t="str">
        <f t="shared" si="4"/>
        <v>A3</v>
      </c>
      <c r="L39" t="s">
        <v>221</v>
      </c>
      <c r="M39" t="s">
        <v>202</v>
      </c>
      <c r="N39" t="s">
        <v>77</v>
      </c>
    </row>
    <row r="40" spans="1:14" x14ac:dyDescent="0.3">
      <c r="A40" s="1" t="s">
        <v>115</v>
      </c>
      <c r="B40" s="1" t="str">
        <f t="shared" si="0"/>
        <v>=V01 - A4</v>
      </c>
      <c r="C40" s="1" t="str">
        <f t="shared" si="1"/>
        <v>"EL1809, 16DI"</v>
      </c>
      <c r="D40" s="1" t="str">
        <f t="shared" si="2"/>
        <v>EL1809</v>
      </c>
      <c r="F40" t="s">
        <v>160</v>
      </c>
      <c r="G40" t="s">
        <v>77</v>
      </c>
      <c r="I40" t="str">
        <f t="shared" si="3"/>
        <v>=V01</v>
      </c>
      <c r="J40" t="str">
        <f t="shared" si="4"/>
        <v>A4</v>
      </c>
      <c r="L40" t="s">
        <v>221</v>
      </c>
      <c r="M40" t="s">
        <v>203</v>
      </c>
      <c r="N40" t="s">
        <v>77</v>
      </c>
    </row>
    <row r="41" spans="1:14" x14ac:dyDescent="0.3">
      <c r="A41" s="1" t="s">
        <v>116</v>
      </c>
      <c r="B41" s="1" t="str">
        <f t="shared" si="0"/>
        <v>=V01 - A5</v>
      </c>
      <c r="C41" s="1" t="str">
        <f t="shared" si="1"/>
        <v>"EL1809, 16DI"</v>
      </c>
      <c r="D41" s="1" t="str">
        <f t="shared" si="2"/>
        <v>EL1809</v>
      </c>
      <c r="F41" t="s">
        <v>161</v>
      </c>
      <c r="G41" t="s">
        <v>77</v>
      </c>
      <c r="I41" t="str">
        <f t="shared" si="3"/>
        <v>=V01</v>
      </c>
      <c r="J41" t="str">
        <f t="shared" si="4"/>
        <v>A5</v>
      </c>
      <c r="L41" t="s">
        <v>221</v>
      </c>
      <c r="M41" t="s">
        <v>204</v>
      </c>
      <c r="N41" t="s">
        <v>77</v>
      </c>
    </row>
    <row r="42" spans="1:14" x14ac:dyDescent="0.3">
      <c r="A42" s="1" t="s">
        <v>117</v>
      </c>
      <c r="B42" s="1" t="str">
        <f t="shared" si="0"/>
        <v>=V01 - A5.1</v>
      </c>
      <c r="C42" s="1" t="str">
        <f t="shared" si="1"/>
        <v>"EL9100"</v>
      </c>
      <c r="D42" s="1" t="str">
        <f t="shared" si="2"/>
        <v>EL9100</v>
      </c>
      <c r="F42" t="s">
        <v>162</v>
      </c>
      <c r="G42" t="s">
        <v>80</v>
      </c>
      <c r="I42" t="str">
        <f t="shared" si="3"/>
        <v>=V01</v>
      </c>
      <c r="J42" t="str">
        <f t="shared" si="4"/>
        <v>A5.1</v>
      </c>
      <c r="L42" t="s">
        <v>221</v>
      </c>
      <c r="M42" t="s">
        <v>224</v>
      </c>
      <c r="N42" t="s">
        <v>80</v>
      </c>
    </row>
    <row r="43" spans="1:14" x14ac:dyDescent="0.3">
      <c r="A43" s="1" t="s">
        <v>118</v>
      </c>
      <c r="B43" s="1" t="str">
        <f t="shared" si="0"/>
        <v>=V01 - A6</v>
      </c>
      <c r="C43" s="1" t="str">
        <f t="shared" si="1"/>
        <v>"EL3064, 4AI"</v>
      </c>
      <c r="D43" s="1" t="str">
        <f t="shared" si="2"/>
        <v>EL3064</v>
      </c>
      <c r="F43" t="s">
        <v>163</v>
      </c>
      <c r="G43" t="s">
        <v>169</v>
      </c>
      <c r="I43" t="str">
        <f t="shared" si="3"/>
        <v>=V01</v>
      </c>
      <c r="J43" t="str">
        <f t="shared" si="4"/>
        <v>A6</v>
      </c>
      <c r="L43" t="s">
        <v>221</v>
      </c>
      <c r="M43" t="s">
        <v>210</v>
      </c>
      <c r="N43" t="s">
        <v>169</v>
      </c>
    </row>
    <row r="44" spans="1:14" x14ac:dyDescent="0.3">
      <c r="A44" s="1" t="s">
        <v>119</v>
      </c>
      <c r="B44" s="1" t="str">
        <f t="shared" si="0"/>
        <v>=V01 - A7</v>
      </c>
      <c r="C44" s="1" t="str">
        <f t="shared" si="1"/>
        <v>"EL3064, 4AI"</v>
      </c>
      <c r="D44" s="1" t="str">
        <f t="shared" si="2"/>
        <v>EL3064</v>
      </c>
      <c r="F44" t="s">
        <v>164</v>
      </c>
      <c r="G44" t="s">
        <v>169</v>
      </c>
      <c r="I44" t="str">
        <f t="shared" si="3"/>
        <v>=V01</v>
      </c>
      <c r="J44" t="str">
        <f t="shared" si="4"/>
        <v>A7</v>
      </c>
      <c r="L44" t="s">
        <v>221</v>
      </c>
      <c r="M44" t="s">
        <v>211</v>
      </c>
      <c r="N44" t="s">
        <v>169</v>
      </c>
    </row>
    <row r="45" spans="1:14" x14ac:dyDescent="0.3">
      <c r="A45" s="1" t="s">
        <v>120</v>
      </c>
      <c r="B45" s="1" t="str">
        <f t="shared" si="0"/>
        <v>=V01 - A8</v>
      </c>
      <c r="C45" s="1" t="str">
        <f t="shared" si="1"/>
        <v>"EL3314, 4XTC"</v>
      </c>
      <c r="D45" s="1" t="str">
        <f t="shared" si="2"/>
        <v>EL3314</v>
      </c>
      <c r="F45" t="s">
        <v>165</v>
      </c>
      <c r="G45" t="s">
        <v>174</v>
      </c>
      <c r="I45" t="str">
        <f t="shared" si="3"/>
        <v>=V01</v>
      </c>
      <c r="J45" t="str">
        <f t="shared" si="4"/>
        <v>A8</v>
      </c>
      <c r="L45" t="s">
        <v>221</v>
      </c>
      <c r="M45" t="s">
        <v>212</v>
      </c>
      <c r="N45" t="s">
        <v>174</v>
      </c>
    </row>
    <row r="46" spans="1:14" x14ac:dyDescent="0.3">
      <c r="A46" s="1" t="s">
        <v>121</v>
      </c>
      <c r="B46" s="1" t="str">
        <f t="shared" si="0"/>
        <v>=V01 - A13</v>
      </c>
      <c r="C46" s="1" t="str">
        <f t="shared" si="1"/>
        <v>"Profibus Master\nProfibus master"</v>
      </c>
      <c r="D46" s="1" t="str">
        <f t="shared" si="2"/>
        <v>Profib</v>
      </c>
      <c r="F46" t="s">
        <v>166</v>
      </c>
      <c r="G46" t="s">
        <v>175</v>
      </c>
      <c r="I46" t="str">
        <f t="shared" si="3"/>
        <v>=V01</v>
      </c>
      <c r="J46" t="str">
        <f t="shared" si="4"/>
        <v>A13</v>
      </c>
      <c r="L46" t="s">
        <v>221</v>
      </c>
      <c r="M46" t="s">
        <v>217</v>
      </c>
      <c r="N46" t="s">
        <v>175</v>
      </c>
    </row>
    <row r="47" spans="1:14" x14ac:dyDescent="0.3">
      <c r="A47" s="1" t="s">
        <v>122</v>
      </c>
      <c r="B47" s="1" t="str">
        <f t="shared" si="0"/>
        <v>=V01 - A14</v>
      </c>
      <c r="C47" s="1" t="str">
        <f t="shared" si="1"/>
        <v>"EL9011"</v>
      </c>
      <c r="D47" s="1" t="str">
        <f t="shared" si="2"/>
        <v>EL9011</v>
      </c>
      <c r="F47" t="s">
        <v>167</v>
      </c>
      <c r="G47" t="s">
        <v>81</v>
      </c>
      <c r="I47" t="str">
        <f t="shared" si="3"/>
        <v>=V01</v>
      </c>
      <c r="J47" t="str">
        <f t="shared" si="4"/>
        <v>A14</v>
      </c>
      <c r="L47" t="s">
        <v>221</v>
      </c>
      <c r="M47" t="s">
        <v>225</v>
      </c>
      <c r="N47" t="s">
        <v>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4040-486E-4145-A8D7-4E5591B0E471}">
  <dimension ref="B1:D12"/>
  <sheetViews>
    <sheetView workbookViewId="0">
      <selection activeCell="D16" sqref="D16"/>
    </sheetView>
  </sheetViews>
  <sheetFormatPr defaultRowHeight="14" x14ac:dyDescent="0.3"/>
  <cols>
    <col min="1" max="3" width="13.83203125" customWidth="1"/>
    <col min="4" max="4" width="40.58203125" bestFit="1" customWidth="1"/>
    <col min="5" max="5" width="14.25" customWidth="1"/>
  </cols>
  <sheetData>
    <row r="1" spans="2:4" x14ac:dyDescent="0.3">
      <c r="B1" t="s">
        <v>196</v>
      </c>
      <c r="C1" t="s">
        <v>197</v>
      </c>
      <c r="D1" t="s">
        <v>198</v>
      </c>
    </row>
    <row r="2" spans="2:4" x14ac:dyDescent="0.3">
      <c r="B2" t="s">
        <v>76</v>
      </c>
      <c r="C2">
        <v>16</v>
      </c>
      <c r="D2" t="s">
        <v>177</v>
      </c>
    </row>
    <row r="3" spans="2:4" x14ac:dyDescent="0.3">
      <c r="B3" t="s">
        <v>77</v>
      </c>
      <c r="C3">
        <v>16</v>
      </c>
      <c r="D3" t="s">
        <v>184</v>
      </c>
    </row>
    <row r="4" spans="2:4" x14ac:dyDescent="0.3">
      <c r="B4" t="s">
        <v>78</v>
      </c>
      <c r="C4">
        <v>4</v>
      </c>
      <c r="D4" t="s">
        <v>178</v>
      </c>
    </row>
    <row r="5" spans="2:4" x14ac:dyDescent="0.3">
      <c r="B5" t="s">
        <v>79</v>
      </c>
      <c r="C5">
        <v>8</v>
      </c>
      <c r="D5" t="s">
        <v>183</v>
      </c>
    </row>
    <row r="6" spans="2:4" x14ac:dyDescent="0.3">
      <c r="B6" t="s">
        <v>169</v>
      </c>
      <c r="C6">
        <v>4</v>
      </c>
      <c r="D6" t="s">
        <v>178</v>
      </c>
    </row>
    <row r="7" spans="2:4" x14ac:dyDescent="0.3">
      <c r="B7" t="s">
        <v>170</v>
      </c>
      <c r="C7">
        <v>2</v>
      </c>
      <c r="D7" t="s">
        <v>179</v>
      </c>
    </row>
    <row r="8" spans="2:4" x14ac:dyDescent="0.3">
      <c r="B8" t="s">
        <v>192</v>
      </c>
      <c r="C8">
        <v>6</v>
      </c>
      <c r="D8" t="s">
        <v>194</v>
      </c>
    </row>
    <row r="9" spans="2:4" x14ac:dyDescent="0.3">
      <c r="B9" t="s">
        <v>171</v>
      </c>
      <c r="C9">
        <v>4</v>
      </c>
      <c r="D9" t="s">
        <v>180</v>
      </c>
    </row>
    <row r="10" spans="2:4" x14ac:dyDescent="0.3">
      <c r="B10" t="s">
        <v>172</v>
      </c>
      <c r="C10">
        <v>2</v>
      </c>
      <c r="D10" t="s">
        <v>181</v>
      </c>
    </row>
    <row r="11" spans="2:4" x14ac:dyDescent="0.3">
      <c r="B11" t="s">
        <v>173</v>
      </c>
      <c r="C11">
        <v>4</v>
      </c>
      <c r="D11" t="s">
        <v>182</v>
      </c>
    </row>
    <row r="12" spans="2:4" x14ac:dyDescent="0.3">
      <c r="B12" t="s">
        <v>174</v>
      </c>
      <c r="C12">
        <v>4</v>
      </c>
      <c r="D12" t="s">
        <v>193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zhang</dc:creator>
  <cp:lastModifiedBy>tong zhang</cp:lastModifiedBy>
  <dcterms:created xsi:type="dcterms:W3CDTF">2015-06-05T18:19:34Z</dcterms:created>
  <dcterms:modified xsi:type="dcterms:W3CDTF">2025-03-26T05:28:08Z</dcterms:modified>
</cp:coreProperties>
</file>